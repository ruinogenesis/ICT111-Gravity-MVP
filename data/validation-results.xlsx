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Validation Data" sheetId="1" state="visible" r:id="rId3"/>
    <sheet name="Analytics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<sst xmlns="http://schemas.openxmlformats.org/spreadsheetml/2006/main" count="309" uniqueCount="116">
  <si>
    <t xml:space="preserve">Test_User_ID</t>
  </si>
  <si>
    <t xml:space="preserve">User_Role</t>
  </si>
  <si>
    <t xml:space="preserve">Prototype_Version</t>
  </si>
  <si>
    <t xml:space="preserve">Main_Task</t>
  </si>
  <si>
    <t xml:space="preserve">Task_Completed</t>
  </si>
  <si>
    <t xml:space="preserve">Time_Seconds</t>
  </si>
  <si>
    <t xml:space="preserve">Confusion_Point</t>
  </si>
  <si>
    <t xml:space="preserve">Feature_Most_Useful</t>
  </si>
  <si>
    <t xml:space="preserve">Feedback_Score_1_5</t>
  </si>
  <si>
    <t xml:space="preserve">Interest_Level_1_5</t>
  </si>
  <si>
    <t xml:space="preserve">Comment</t>
  </si>
  <si>
    <t xml:space="preserve">Requirement_Affected</t>
  </si>
  <si>
    <t xml:space="preserve">TU-01</t>
  </si>
  <si>
    <t xml:space="preserve">Student, sold an item before</t>
  </si>
  <si>
    <t xml:space="preserve">v0.1</t>
  </si>
  <si>
    <t xml:space="preserve">T1 Explain homepage purpose</t>
  </si>
  <si>
    <t xml:space="preserve">Yes</t>
  </si>
  <si>
    <t xml:space="preserve">No confusion</t>
  </si>
  <si>
    <t xml:space="preserve">Clear tagline</t>
  </si>
  <si>
    <t xml:space="preserve">Said 'anyone who is a student' - understood marketplace, did not specifically mention RSU-only</t>
  </si>
  <si>
    <t xml:space="preserve">FR-01</t>
  </si>
  <si>
    <t xml:space="preserve">T2 Post a listing</t>
  </si>
  <si>
    <t xml:space="preserve">Listing form</t>
  </si>
  <si>
    <t xml:space="preserve">Posted Pop Mart figure, Other, 300 THB, Like new, Plum 89 Condo - instant clicks, saw green success message</t>
  </si>
  <si>
    <t xml:space="preserve">FR-03; FR-10; FR-11</t>
  </si>
  <si>
    <t xml:space="preserve">T3 Find textbook under 300 THB</t>
  </si>
  <si>
    <t xml:space="preserve">Search/filter</t>
  </si>
  <si>
    <t xml:space="preserve">Category filter</t>
  </si>
  <si>
    <t xml:space="preserve">Ignored textbook target - said nobody in IT section uses textbooks, searched graphic card instead, used filter correctly</t>
  </si>
  <si>
    <t xml:space="preserve">FR-05; FR-06</t>
  </si>
  <si>
    <t xml:space="preserve">T4 Open detail and judge trust</t>
  </si>
  <si>
    <t xml:space="preserve">RSU verified badge</t>
  </si>
  <si>
    <t xml:space="preserve">Mentioned the verified badge unprompted and said they trust it</t>
  </si>
  <si>
    <t xml:space="preserve">FR-07; FR-15</t>
  </si>
  <si>
    <t xml:space="preserve">T5 Explain statuses</t>
  </si>
  <si>
    <t xml:space="preserve">No</t>
  </si>
  <si>
    <t xml:space="preserve">Status labels</t>
  </si>
  <si>
    <t xml:space="preserve">Wanted to bid on a Reserved item even though it is reserved; rated statuses 5/5 while misreading Reserved - self-report vs behavior mismatch</t>
  </si>
  <si>
    <t xml:space="preserve">FR-08</t>
  </si>
  <si>
    <t xml:space="preserve">T6 Request contact and explain</t>
  </si>
  <si>
    <t xml:space="preserve">Contact flow</t>
  </si>
  <si>
    <t xml:space="preserve">Said they wait for the seller to contact or the system will contact them - roughly correct but not fully clear; rated Q6 only 3/5</t>
  </si>
  <si>
    <t xml:space="preserve">FR-02; FR-15</t>
  </si>
  <si>
    <t xml:space="preserve">TU-02</t>
  </si>
  <si>
    <t xml:space="preserve">Student, secondhand trader (not student-to-student)</t>
  </si>
  <si>
    <t xml:space="preserve">Listings + verified badge</t>
  </si>
  <si>
    <t xml:space="preserve">Initially said 'for everyone'; after browsing listings and seeing RSU-verified, corrected to RSU-only - purpose clear only after browsing</t>
  </si>
  <si>
    <t xml:space="preserve">Posted one-time-used party clothes, 2000 THB, Appliances(!), Good, u campus - instant, liked UI. Miscategorised clothes as Appliances</t>
  </si>
  <si>
    <t xml:space="preserve">Filter (after prompt)</t>
  </si>
  <si>
    <t xml:space="preserve">Used search bar first; facilitator suggested filter, then liked it - filter discoverability weak</t>
  </si>
  <si>
    <t xml:space="preserve">RSU verification</t>
  </si>
  <si>
    <t xml:space="preserve">Trusts as RSU-only source; suggested verified condos/dorms as extra safety for women - social verification still a gap</t>
  </si>
  <si>
    <t xml:space="preserve">Correctly explained: Available is available, Reserved is not</t>
  </si>
  <si>
    <t xml:space="preserve">Did not know what happens next; wants to confirm socials + safety even if backend approves. Rated Q6=1 - reveal-after-agree not understood, wants seller profile + meetup plan</t>
  </si>
  <si>
    <t xml:space="preserve">TU-03</t>
  </si>
  <si>
    <t xml:space="preserve">Student, buyer (bought from a student friend before)</t>
  </si>
  <si>
    <t xml:space="preserve">Detail view</t>
  </si>
  <si>
    <t xml:space="preserve">Understood purpose but criticised UI as too simple; wants Lazada/Amazon-style interface with images and bulk selling</t>
  </si>
  <si>
    <t xml:space="preserve">Bulk-sell need</t>
  </si>
  <si>
    <t xml:space="preserve">Only engaged as seller when prompted with move-abroad scenario; posted bulk tech lot (chair, 4K monitor, UPS, keyboard), 20000 THB, Other, Fair, Pathum Thani - 6 min. Wants a bulk section</t>
  </si>
  <si>
    <t xml:space="preserve">Used category filter but said it has no real use case; wants an availability timeframe (valid till date) on listings</t>
  </si>
  <si>
    <t xml:space="preserve">System verification</t>
  </si>
  <si>
    <t xml:space="preserve">No issue trusting if system-verified; called the verified badge unnecessary since only verified accounts appear anyway</t>
  </si>
  <si>
    <t xml:space="preserve">Fully correct: understood Reserved means he can still buy if the buyer backs off</t>
  </si>
  <si>
    <t xml:space="preserve">Instant contact preference</t>
  </si>
  <si>
    <t xml:space="preserve">Argued LINE should show instantly since everyone is pre-verified; sees reveal-after-agree as unnecessary friction. Said bidding shouldn't exist - like hijacking the deal</t>
  </si>
  <si>
    <t xml:space="preserve">TU-04</t>
  </si>
  <si>
    <t xml:space="preserve">Student, no experience (planning to sell)</t>
  </si>
  <si>
    <t xml:space="preserve">Rapid session (~15s/task); said everyone can buy/sell - did not distinguish RSU-only</t>
  </si>
  <si>
    <t xml:space="preserve">Confirmation message</t>
  </si>
  <si>
    <t xml:space="preserve">Posted makeup tools 920 THB, Appliances(!), Like new, RSU Dormitory 2B - saw green message. Makeup miscategorised as Appliances</t>
  </si>
  <si>
    <t xml:space="preserve">Filter</t>
  </si>
  <si>
    <t xml:space="preserve">Used filter only; said filter needs more options</t>
  </si>
  <si>
    <t xml:space="preserve">Trusted the listing</t>
  </si>
  <si>
    <t xml:space="preserve">Read Reserved correctly as just booked</t>
  </si>
  <si>
    <t xml:space="preserve">Said I'll wait for my confirmation from my end - roughly correct but called contact option confusing</t>
  </si>
  <si>
    <t xml:space="preserve">TU-05</t>
  </si>
  <si>
    <t xml:space="preserve">Student, active FB-group buyer</t>
  </si>
  <si>
    <t xml:space="preserve">Said everyone can use; after clicking an item, corrected to students-only - same landing-vs-browse pattern</t>
  </si>
  <si>
    <t xml:space="preserve">Clear messages</t>
  </si>
  <si>
    <t xml:space="preserve">All messages clear</t>
  </si>
  <si>
    <t xml:space="preserve">Used filter only, not search</t>
  </si>
  <si>
    <t xml:space="preserve">Trusted, but said detail lacks a meet-up time/schedule</t>
  </si>
  <si>
    <t xml:space="preserve">Understood Reserved but argued reserved items should be removed from the listing entirely</t>
  </si>
  <si>
    <t xml:space="preserve">Said seller contact shouldn't take more than a day - expects a response-time expectation</t>
  </si>
  <si>
    <t xml:space="preserve">Gravity - Lab 08 Customer Validation Analytics Dashboard</t>
  </si>
  <si>
    <t xml:space="preserve">Metric</t>
  </si>
  <si>
    <t xml:space="preserve">Value</t>
  </si>
  <si>
    <t xml:space="preserve">Confusion Category</t>
  </si>
  <si>
    <t xml:space="preserve">Count</t>
  </si>
  <si>
    <t xml:space="preserve">Interpretation</t>
  </si>
  <si>
    <t xml:space="preserve">Total task records</t>
  </si>
  <si>
    <t xml:space="preserve">Workflow easy to follow</t>
  </si>
  <si>
    <t xml:space="preserve">Distinct test users</t>
  </si>
  <si>
    <t xml:space="preserve">Filter discoverability + options need work</t>
  </si>
  <si>
    <t xml:space="preserve">Completed tasks (Yes)</t>
  </si>
  <si>
    <t xml:space="preserve">Reveal-after-agree needs clearer explanation</t>
  </si>
  <si>
    <t xml:space="preserve">Task success rate</t>
  </si>
  <si>
    <t xml:space="preserve">Reserved status wording/logic needs fixing</t>
  </si>
  <si>
    <t xml:space="preserve">Average feedback score</t>
  </si>
  <si>
    <t xml:space="preserve">Detail needs photos + meet-up info</t>
  </si>
  <si>
    <t xml:space="preserve">Average interest level</t>
  </si>
  <si>
    <t xml:space="preserve">Category set too narrow</t>
  </si>
  <si>
    <t xml:space="preserve">Average time per task (s)</t>
  </si>
  <si>
    <t xml:space="preserve">Failed / help-needed tasks (No)</t>
  </si>
  <si>
    <t xml:space="preserve">Check Against Lab 07 Success Metrics</t>
  </si>
  <si>
    <t xml:space="preserve">Target</t>
  </si>
  <si>
    <t xml:space="preserve">Result</t>
  </si>
  <si>
    <t xml:space="preserve">Met?</t>
  </si>
  <si>
    <t xml:space="preserve">M-01 Task completion</t>
  </si>
  <si>
    <t xml:space="preserve">≥70%</t>
  </si>
  <si>
    <t xml:space="preserve">M-07 Feedback score</t>
  </si>
  <si>
    <t xml:space="preserve">≥4.0</t>
  </si>
  <si>
    <t xml:space="preserve">M-08 Interest level</t>
  </si>
  <si>
    <t xml:space="preserve">Evidence-based decision</t>
  </si>
  <si>
    <t xml:space="preserve">Continue with minor revisions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</si>
</sst>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"/>
    <numFmt numFmtId="167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4594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4594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594A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59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10" min="9" style="0" width="14"/>
    <col collapsed="false" customWidth="true" hidden="false" outlineLevel="0" max="11" min="11" style="0" width="54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n">
        <v>90</v>
      </c>
      <c r="G2" s="2" t="s">
        <v>17</v>
      </c>
      <c r="H2" s="2" t="s">
        <v>18</v>
      </c>
      <c r="I2" s="2" t="n">
        <v>4</v>
      </c>
      <c r="J2" s="2" t="n">
        <v>5</v>
      </c>
      <c r="K2" s="2" t="s">
        <v>19</v>
      </c>
      <c r="L2" s="2" t="s">
        <v>20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21</v>
      </c>
      <c r="E3" s="2" t="s">
        <v>16</v>
      </c>
      <c r="F3" s="2" t="n">
        <v>56</v>
      </c>
      <c r="G3" s="2" t="s">
        <v>17</v>
      </c>
      <c r="H3" s="2" t="s">
        <v>22</v>
      </c>
      <c r="I3" s="2" t="n">
        <v>5</v>
      </c>
      <c r="J3" s="2" t="n">
        <v>5</v>
      </c>
      <c r="K3" s="2" t="s">
        <v>23</v>
      </c>
      <c r="L3" s="2" t="s">
        <v>24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25</v>
      </c>
      <c r="E4" s="2" t="s">
        <v>16</v>
      </c>
      <c r="F4" s="2" t="n">
        <v>100</v>
      </c>
      <c r="G4" s="2" t="s">
        <v>26</v>
      </c>
      <c r="H4" s="2" t="s">
        <v>27</v>
      </c>
      <c r="I4" s="2" t="n">
        <v>5</v>
      </c>
      <c r="J4" s="2" t="n">
        <v>5</v>
      </c>
      <c r="K4" s="2" t="s">
        <v>28</v>
      </c>
      <c r="L4" s="2" t="s">
        <v>29</v>
      </c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14</v>
      </c>
      <c r="D5" s="2" t="s">
        <v>30</v>
      </c>
      <c r="E5" s="2" t="s">
        <v>16</v>
      </c>
      <c r="F5" s="2" t="n">
        <v>80</v>
      </c>
      <c r="G5" s="2" t="s">
        <v>17</v>
      </c>
      <c r="H5" s="2" t="s">
        <v>31</v>
      </c>
      <c r="I5" s="2" t="n">
        <v>4</v>
      </c>
      <c r="J5" s="2" t="n">
        <v>5</v>
      </c>
      <c r="K5" s="2" t="s">
        <v>32</v>
      </c>
      <c r="L5" s="2" t="s">
        <v>33</v>
      </c>
    </row>
    <row r="6" customFormat="false" ht="15" hidden="false" customHeight="false" outlineLevel="0" collapsed="false">
      <c r="A6" s="2" t="s">
        <v>12</v>
      </c>
      <c r="B6" s="2" t="s">
        <v>13</v>
      </c>
      <c r="C6" s="2" t="s">
        <v>14</v>
      </c>
      <c r="D6" s="2" t="s">
        <v>34</v>
      </c>
      <c r="E6" s="2" t="s">
        <v>35</v>
      </c>
      <c r="F6" s="2" t="n">
        <v>110</v>
      </c>
      <c r="G6" s="2" t="s">
        <v>36</v>
      </c>
      <c r="H6" s="2"/>
      <c r="I6" s="2" t="n">
        <v>5</v>
      </c>
      <c r="J6" s="2" t="n">
        <v>5</v>
      </c>
      <c r="K6" s="2" t="s">
        <v>37</v>
      </c>
      <c r="L6" s="2" t="s">
        <v>38</v>
      </c>
    </row>
    <row r="7" customFormat="false" ht="15" hidden="false" customHeight="false" outlineLevel="0" collapsed="false">
      <c r="A7" s="2" t="s">
        <v>12</v>
      </c>
      <c r="B7" s="2" t="s">
        <v>13</v>
      </c>
      <c r="C7" s="2" t="s">
        <v>14</v>
      </c>
      <c r="D7" s="2" t="s">
        <v>39</v>
      </c>
      <c r="E7" s="2" t="s">
        <v>16</v>
      </c>
      <c r="F7" s="2" t="n">
        <v>95</v>
      </c>
      <c r="G7" s="2" t="s">
        <v>40</v>
      </c>
      <c r="H7" s="2"/>
      <c r="I7" s="2" t="n">
        <v>3</v>
      </c>
      <c r="J7" s="2" t="n">
        <v>5</v>
      </c>
      <c r="K7" s="2" t="s">
        <v>41</v>
      </c>
      <c r="L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14</v>
      </c>
      <c r="D8" s="2" t="s">
        <v>15</v>
      </c>
      <c r="E8" s="2" t="s">
        <v>16</v>
      </c>
      <c r="F8" s="2" t="n">
        <v>150</v>
      </c>
      <c r="G8" s="2" t="s">
        <v>17</v>
      </c>
      <c r="H8" s="2" t="s">
        <v>45</v>
      </c>
      <c r="I8" s="2" t="n">
        <v>5</v>
      </c>
      <c r="J8" s="2" t="n">
        <v>5</v>
      </c>
      <c r="K8" s="2" t="s">
        <v>46</v>
      </c>
      <c r="L8" s="2" t="s">
        <v>20</v>
      </c>
    </row>
    <row r="9" customFormat="false" ht="15" hidden="false" customHeight="false" outlineLevel="0" collapsed="false">
      <c r="A9" s="2" t="s">
        <v>43</v>
      </c>
      <c r="B9" s="2" t="s">
        <v>44</v>
      </c>
      <c r="C9" s="2" t="s">
        <v>14</v>
      </c>
      <c r="D9" s="2" t="s">
        <v>21</v>
      </c>
      <c r="E9" s="2" t="s">
        <v>16</v>
      </c>
      <c r="F9" s="2" t="n">
        <v>150</v>
      </c>
      <c r="G9" s="2" t="s">
        <v>17</v>
      </c>
      <c r="H9" s="2" t="s">
        <v>22</v>
      </c>
      <c r="I9" s="2" t="n">
        <v>5</v>
      </c>
      <c r="J9" s="2" t="n">
        <v>5</v>
      </c>
      <c r="K9" s="2" t="s">
        <v>47</v>
      </c>
      <c r="L9" s="2" t="s">
        <v>24</v>
      </c>
    </row>
    <row r="10" customFormat="false" ht="15" hidden="false" customHeight="false" outlineLevel="0" collapsed="false">
      <c r="A10" s="2" t="s">
        <v>43</v>
      </c>
      <c r="B10" s="2" t="s">
        <v>44</v>
      </c>
      <c r="C10" s="2" t="s">
        <v>14</v>
      </c>
      <c r="D10" s="2" t="s">
        <v>25</v>
      </c>
      <c r="E10" s="2" t="s">
        <v>16</v>
      </c>
      <c r="F10" s="2" t="n">
        <v>150</v>
      </c>
      <c r="G10" s="2" t="s">
        <v>26</v>
      </c>
      <c r="H10" s="2" t="s">
        <v>48</v>
      </c>
      <c r="I10" s="2" t="n">
        <v>5</v>
      </c>
      <c r="J10" s="2" t="n">
        <v>5</v>
      </c>
      <c r="K10" s="2" t="s">
        <v>49</v>
      </c>
      <c r="L10" s="2" t="s">
        <v>29</v>
      </c>
    </row>
    <row r="11" customFormat="false" ht="15" hidden="false" customHeight="false" outlineLevel="0" collapsed="false">
      <c r="A11" s="2" t="s">
        <v>43</v>
      </c>
      <c r="B11" s="2" t="s">
        <v>44</v>
      </c>
      <c r="C11" s="2" t="s">
        <v>14</v>
      </c>
      <c r="D11" s="2" t="s">
        <v>30</v>
      </c>
      <c r="E11" s="2" t="s">
        <v>16</v>
      </c>
      <c r="F11" s="2" t="n">
        <v>150</v>
      </c>
      <c r="G11" s="2" t="s">
        <v>17</v>
      </c>
      <c r="H11" s="2" t="s">
        <v>50</v>
      </c>
      <c r="I11" s="2" t="n">
        <v>5</v>
      </c>
      <c r="J11" s="2" t="n">
        <v>5</v>
      </c>
      <c r="K11" s="2" t="s">
        <v>51</v>
      </c>
      <c r="L11" s="2" t="s">
        <v>33</v>
      </c>
    </row>
    <row r="12" customFormat="false" ht="15" hidden="false" customHeight="false" outlineLevel="0" collapsed="false">
      <c r="A12" s="2" t="s">
        <v>43</v>
      </c>
      <c r="B12" s="2" t="s">
        <v>44</v>
      </c>
      <c r="C12" s="2" t="s">
        <v>14</v>
      </c>
      <c r="D12" s="2" t="s">
        <v>34</v>
      </c>
      <c r="E12" s="2" t="s">
        <v>16</v>
      </c>
      <c r="F12" s="2" t="n">
        <v>150</v>
      </c>
      <c r="G12" s="2" t="s">
        <v>17</v>
      </c>
      <c r="H12" s="2" t="s">
        <v>36</v>
      </c>
      <c r="I12" s="2" t="n">
        <v>5</v>
      </c>
      <c r="J12" s="2" t="n">
        <v>5</v>
      </c>
      <c r="K12" s="2" t="s">
        <v>52</v>
      </c>
      <c r="L12" s="2" t="s">
        <v>38</v>
      </c>
    </row>
    <row r="13" customFormat="false" ht="15" hidden="false" customHeight="false" outlineLevel="0" collapsed="false">
      <c r="A13" s="2" t="s">
        <v>43</v>
      </c>
      <c r="B13" s="2" t="s">
        <v>44</v>
      </c>
      <c r="C13" s="2" t="s">
        <v>14</v>
      </c>
      <c r="D13" s="2" t="s">
        <v>39</v>
      </c>
      <c r="E13" s="2" t="s">
        <v>35</v>
      </c>
      <c r="F13" s="2" t="n">
        <v>180</v>
      </c>
      <c r="G13" s="2" t="s">
        <v>40</v>
      </c>
      <c r="H13" s="2"/>
      <c r="I13" s="2" t="n">
        <v>1</v>
      </c>
      <c r="J13" s="2" t="n">
        <v>5</v>
      </c>
      <c r="K13" s="2" t="s">
        <v>53</v>
      </c>
      <c r="L13" s="2" t="s">
        <v>42</v>
      </c>
    </row>
    <row r="14" customFormat="false" ht="15" hidden="false" customHeight="false" outlineLevel="0" collapsed="false">
      <c r="A14" s="2" t="s">
        <v>54</v>
      </c>
      <c r="B14" s="2" t="s">
        <v>55</v>
      </c>
      <c r="C14" s="2" t="s">
        <v>14</v>
      </c>
      <c r="D14" s="2" t="s">
        <v>15</v>
      </c>
      <c r="E14" s="2" t="s">
        <v>16</v>
      </c>
      <c r="F14" s="2" t="n">
        <v>110</v>
      </c>
      <c r="G14" s="2" t="s">
        <v>56</v>
      </c>
      <c r="H14" s="2"/>
      <c r="I14" s="2" t="n">
        <v>2</v>
      </c>
      <c r="J14" s="2" t="n">
        <v>3</v>
      </c>
      <c r="K14" s="2" t="s">
        <v>57</v>
      </c>
      <c r="L14" s="2" t="s">
        <v>20</v>
      </c>
    </row>
    <row r="15" customFormat="false" ht="15" hidden="false" customHeight="false" outlineLevel="0" collapsed="false">
      <c r="A15" s="2" t="s">
        <v>54</v>
      </c>
      <c r="B15" s="2" t="s">
        <v>55</v>
      </c>
      <c r="C15" s="2" t="s">
        <v>14</v>
      </c>
      <c r="D15" s="2" t="s">
        <v>21</v>
      </c>
      <c r="E15" s="2" t="s">
        <v>16</v>
      </c>
      <c r="F15" s="2" t="n">
        <v>360</v>
      </c>
      <c r="G15" s="2" t="s">
        <v>22</v>
      </c>
      <c r="H15" s="2" t="s">
        <v>58</v>
      </c>
      <c r="I15" s="2" t="n">
        <v>5</v>
      </c>
      <c r="J15" s="2" t="n">
        <v>4</v>
      </c>
      <c r="K15" s="2" t="s">
        <v>59</v>
      </c>
      <c r="L15" s="2" t="s">
        <v>24</v>
      </c>
    </row>
    <row r="16" customFormat="false" ht="15" hidden="false" customHeight="false" outlineLevel="0" collapsed="false">
      <c r="A16" s="2" t="s">
        <v>54</v>
      </c>
      <c r="B16" s="2" t="s">
        <v>55</v>
      </c>
      <c r="C16" s="2" t="s">
        <v>14</v>
      </c>
      <c r="D16" s="2" t="s">
        <v>25</v>
      </c>
      <c r="E16" s="2" t="s">
        <v>16</v>
      </c>
      <c r="F16" s="2" t="n">
        <v>110</v>
      </c>
      <c r="G16" s="2" t="s">
        <v>26</v>
      </c>
      <c r="H16" s="2"/>
      <c r="I16" s="2" t="n">
        <v>5</v>
      </c>
      <c r="J16" s="2" t="n">
        <v>3</v>
      </c>
      <c r="K16" s="2" t="s">
        <v>60</v>
      </c>
      <c r="L16" s="2" t="s">
        <v>29</v>
      </c>
    </row>
    <row r="17" customFormat="false" ht="15" hidden="false" customHeight="false" outlineLevel="0" collapsed="false">
      <c r="A17" s="2" t="s">
        <v>54</v>
      </c>
      <c r="B17" s="2" t="s">
        <v>55</v>
      </c>
      <c r="C17" s="2" t="s">
        <v>14</v>
      </c>
      <c r="D17" s="2" t="s">
        <v>30</v>
      </c>
      <c r="E17" s="2" t="s">
        <v>16</v>
      </c>
      <c r="F17" s="2" t="n">
        <v>210</v>
      </c>
      <c r="G17" s="2" t="s">
        <v>17</v>
      </c>
      <c r="H17" s="2" t="s">
        <v>61</v>
      </c>
      <c r="I17" s="2" t="n">
        <v>1</v>
      </c>
      <c r="J17" s="2" t="n">
        <v>3</v>
      </c>
      <c r="K17" s="2" t="s">
        <v>62</v>
      </c>
      <c r="L17" s="2" t="s">
        <v>33</v>
      </c>
    </row>
    <row r="18" customFormat="false" ht="15" hidden="false" customHeight="false" outlineLevel="0" collapsed="false">
      <c r="A18" s="2" t="s">
        <v>54</v>
      </c>
      <c r="B18" s="2" t="s">
        <v>55</v>
      </c>
      <c r="C18" s="2" t="s">
        <v>14</v>
      </c>
      <c r="D18" s="2" t="s">
        <v>34</v>
      </c>
      <c r="E18" s="2" t="s">
        <v>16</v>
      </c>
      <c r="F18" s="2" t="n">
        <v>110</v>
      </c>
      <c r="G18" s="2" t="s">
        <v>17</v>
      </c>
      <c r="H18" s="2" t="s">
        <v>36</v>
      </c>
      <c r="I18" s="2" t="n">
        <v>5</v>
      </c>
      <c r="J18" s="2" t="n">
        <v>5</v>
      </c>
      <c r="K18" s="2" t="s">
        <v>63</v>
      </c>
      <c r="L18" s="2" t="s">
        <v>38</v>
      </c>
    </row>
    <row r="19" customFormat="false" ht="15" hidden="false" customHeight="false" outlineLevel="0" collapsed="false">
      <c r="A19" s="2" t="s">
        <v>54</v>
      </c>
      <c r="B19" s="2" t="s">
        <v>55</v>
      </c>
      <c r="C19" s="2" t="s">
        <v>14</v>
      </c>
      <c r="D19" s="2" t="s">
        <v>39</v>
      </c>
      <c r="E19" s="2" t="s">
        <v>16</v>
      </c>
      <c r="F19" s="2" t="n">
        <v>110</v>
      </c>
      <c r="G19" s="2" t="s">
        <v>17</v>
      </c>
      <c r="H19" s="2" t="s">
        <v>64</v>
      </c>
      <c r="I19" s="2" t="n">
        <v>1</v>
      </c>
      <c r="J19" s="2" t="n">
        <v>3</v>
      </c>
      <c r="K19" s="2" t="s">
        <v>65</v>
      </c>
      <c r="L19" s="2" t="s">
        <v>42</v>
      </c>
    </row>
    <row r="20" customFormat="false" ht="15" hidden="false" customHeight="false" outlineLevel="0" collapsed="false">
      <c r="A20" s="2" t="s">
        <v>66</v>
      </c>
      <c r="B20" s="2" t="s">
        <v>67</v>
      </c>
      <c r="C20" s="2" t="s">
        <v>14</v>
      </c>
      <c r="D20" s="2" t="s">
        <v>15</v>
      </c>
      <c r="E20" s="2" t="s">
        <v>16</v>
      </c>
      <c r="F20" s="2" t="n">
        <v>15</v>
      </c>
      <c r="G20" s="2" t="s">
        <v>17</v>
      </c>
      <c r="H20" s="2"/>
      <c r="I20" s="2" t="n">
        <v>5</v>
      </c>
      <c r="J20" s="2" t="n">
        <v>5</v>
      </c>
      <c r="K20" s="2" t="s">
        <v>68</v>
      </c>
      <c r="L20" s="2" t="s">
        <v>20</v>
      </c>
    </row>
    <row r="21" customFormat="false" ht="15" hidden="false" customHeight="false" outlineLevel="0" collapsed="false">
      <c r="A21" s="2" t="s">
        <v>66</v>
      </c>
      <c r="B21" s="2" t="s">
        <v>67</v>
      </c>
      <c r="C21" s="2" t="s">
        <v>14</v>
      </c>
      <c r="D21" s="2" t="s">
        <v>21</v>
      </c>
      <c r="E21" s="2" t="s">
        <v>16</v>
      </c>
      <c r="F21" s="2" t="n">
        <v>15</v>
      </c>
      <c r="G21" s="2" t="s">
        <v>17</v>
      </c>
      <c r="H21" s="2" t="s">
        <v>69</v>
      </c>
      <c r="I21" s="2" t="n">
        <v>5</v>
      </c>
      <c r="J21" s="2" t="n">
        <v>4</v>
      </c>
      <c r="K21" s="2" t="s">
        <v>70</v>
      </c>
      <c r="L21" s="2" t="s">
        <v>24</v>
      </c>
    </row>
    <row r="22" customFormat="false" ht="15" hidden="false" customHeight="false" outlineLevel="0" collapsed="false">
      <c r="A22" s="2" t="s">
        <v>66</v>
      </c>
      <c r="B22" s="2" t="s">
        <v>67</v>
      </c>
      <c r="C22" s="2" t="s">
        <v>14</v>
      </c>
      <c r="D22" s="2" t="s">
        <v>25</v>
      </c>
      <c r="E22" s="2" t="s">
        <v>16</v>
      </c>
      <c r="F22" s="2" t="n">
        <v>15</v>
      </c>
      <c r="G22" s="2" t="s">
        <v>26</v>
      </c>
      <c r="H22" s="2" t="s">
        <v>71</v>
      </c>
      <c r="I22" s="2" t="n">
        <v>5</v>
      </c>
      <c r="J22" s="2" t="n">
        <v>3</v>
      </c>
      <c r="K22" s="2" t="s">
        <v>72</v>
      </c>
      <c r="L22" s="2" t="s">
        <v>29</v>
      </c>
    </row>
    <row r="23" customFormat="false" ht="15" hidden="false" customHeight="false" outlineLevel="0" collapsed="false">
      <c r="A23" s="2" t="s">
        <v>66</v>
      </c>
      <c r="B23" s="2" t="s">
        <v>67</v>
      </c>
      <c r="C23" s="2" t="s">
        <v>14</v>
      </c>
      <c r="D23" s="2" t="s">
        <v>30</v>
      </c>
      <c r="E23" s="2" t="s">
        <v>16</v>
      </c>
      <c r="F23" s="2" t="n">
        <v>15</v>
      </c>
      <c r="G23" s="2" t="s">
        <v>17</v>
      </c>
      <c r="H23" s="2"/>
      <c r="I23" s="2" t="n">
        <v>5</v>
      </c>
      <c r="J23" s="2" t="n">
        <v>4</v>
      </c>
      <c r="K23" s="2" t="s">
        <v>73</v>
      </c>
      <c r="L23" s="2" t="s">
        <v>33</v>
      </c>
    </row>
    <row r="24" customFormat="false" ht="15" hidden="false" customHeight="false" outlineLevel="0" collapsed="false">
      <c r="A24" s="2" t="s">
        <v>66</v>
      </c>
      <c r="B24" s="2" t="s">
        <v>67</v>
      </c>
      <c r="C24" s="2" t="s">
        <v>14</v>
      </c>
      <c r="D24" s="2" t="s">
        <v>34</v>
      </c>
      <c r="E24" s="2" t="s">
        <v>16</v>
      </c>
      <c r="F24" s="2" t="n">
        <v>15</v>
      </c>
      <c r="G24" s="2" t="s">
        <v>17</v>
      </c>
      <c r="H24" s="2" t="s">
        <v>36</v>
      </c>
      <c r="I24" s="2" t="n">
        <v>5</v>
      </c>
      <c r="J24" s="2" t="n">
        <v>4</v>
      </c>
      <c r="K24" s="2" t="s">
        <v>74</v>
      </c>
      <c r="L24" s="2" t="s">
        <v>38</v>
      </c>
    </row>
    <row r="25" customFormat="false" ht="15" hidden="false" customHeight="false" outlineLevel="0" collapsed="false">
      <c r="A25" s="2" t="s">
        <v>66</v>
      </c>
      <c r="B25" s="2" t="s">
        <v>67</v>
      </c>
      <c r="C25" s="2" t="s">
        <v>14</v>
      </c>
      <c r="D25" s="2" t="s">
        <v>39</v>
      </c>
      <c r="E25" s="2" t="s">
        <v>16</v>
      </c>
      <c r="F25" s="2" t="n">
        <v>21</v>
      </c>
      <c r="G25" s="2" t="s">
        <v>40</v>
      </c>
      <c r="H25" s="2"/>
      <c r="I25" s="2" t="n">
        <v>5</v>
      </c>
      <c r="J25" s="2" t="n">
        <v>3</v>
      </c>
      <c r="K25" s="2" t="s">
        <v>75</v>
      </c>
      <c r="L25" s="2" t="s">
        <v>42</v>
      </c>
    </row>
    <row r="26" customFormat="false" ht="15" hidden="false" customHeight="false" outlineLevel="0" collapsed="false">
      <c r="A26" s="2" t="s">
        <v>76</v>
      </c>
      <c r="B26" s="2" t="s">
        <v>77</v>
      </c>
      <c r="C26" s="2" t="s">
        <v>14</v>
      </c>
      <c r="D26" s="2" t="s">
        <v>15</v>
      </c>
      <c r="E26" s="2" t="s">
        <v>16</v>
      </c>
      <c r="F26" s="2" t="n">
        <v>25</v>
      </c>
      <c r="G26" s="2" t="s">
        <v>17</v>
      </c>
      <c r="H26" s="2"/>
      <c r="I26" s="2" t="n">
        <v>5</v>
      </c>
      <c r="J26" s="2" t="n">
        <v>5</v>
      </c>
      <c r="K26" s="2" t="s">
        <v>78</v>
      </c>
      <c r="L26" s="2" t="s">
        <v>20</v>
      </c>
    </row>
    <row r="27" customFormat="false" ht="15" hidden="false" customHeight="false" outlineLevel="0" collapsed="false">
      <c r="A27" s="2" t="s">
        <v>76</v>
      </c>
      <c r="B27" s="2" t="s">
        <v>77</v>
      </c>
      <c r="C27" s="2" t="s">
        <v>14</v>
      </c>
      <c r="D27" s="2" t="s">
        <v>21</v>
      </c>
      <c r="E27" s="2" t="s">
        <v>16</v>
      </c>
      <c r="F27" s="2" t="n">
        <v>25</v>
      </c>
      <c r="G27" s="2" t="s">
        <v>17</v>
      </c>
      <c r="H27" s="2" t="s">
        <v>79</v>
      </c>
      <c r="I27" s="2" t="n">
        <v>4</v>
      </c>
      <c r="J27" s="2" t="n">
        <v>4</v>
      </c>
      <c r="K27" s="2" t="s">
        <v>80</v>
      </c>
      <c r="L27" s="2" t="s">
        <v>24</v>
      </c>
    </row>
    <row r="28" customFormat="false" ht="15" hidden="false" customHeight="false" outlineLevel="0" collapsed="false">
      <c r="A28" s="2" t="s">
        <v>76</v>
      </c>
      <c r="B28" s="2" t="s">
        <v>77</v>
      </c>
      <c r="C28" s="2" t="s">
        <v>14</v>
      </c>
      <c r="D28" s="2" t="s">
        <v>25</v>
      </c>
      <c r="E28" s="2" t="s">
        <v>16</v>
      </c>
      <c r="F28" s="2" t="n">
        <v>25</v>
      </c>
      <c r="G28" s="2" t="s">
        <v>17</v>
      </c>
      <c r="H28" s="2" t="s">
        <v>71</v>
      </c>
      <c r="I28" s="2" t="n">
        <v>4</v>
      </c>
      <c r="J28" s="2" t="n">
        <v>4</v>
      </c>
      <c r="K28" s="2" t="s">
        <v>81</v>
      </c>
      <c r="L28" s="2" t="s">
        <v>29</v>
      </c>
    </row>
    <row r="29" customFormat="false" ht="15" hidden="false" customHeight="false" outlineLevel="0" collapsed="false">
      <c r="A29" s="2" t="s">
        <v>76</v>
      </c>
      <c r="B29" s="2" t="s">
        <v>77</v>
      </c>
      <c r="C29" s="2" t="s">
        <v>14</v>
      </c>
      <c r="D29" s="2" t="s">
        <v>30</v>
      </c>
      <c r="E29" s="2" t="s">
        <v>16</v>
      </c>
      <c r="F29" s="2" t="n">
        <v>25</v>
      </c>
      <c r="G29" s="2" t="s">
        <v>56</v>
      </c>
      <c r="H29" s="2"/>
      <c r="I29" s="2" t="n">
        <v>5</v>
      </c>
      <c r="J29" s="2" t="n">
        <v>5</v>
      </c>
      <c r="K29" s="2" t="s">
        <v>82</v>
      </c>
      <c r="L29" s="2" t="s">
        <v>33</v>
      </c>
    </row>
    <row r="30" customFormat="false" ht="15" hidden="false" customHeight="false" outlineLevel="0" collapsed="false">
      <c r="A30" s="2" t="s">
        <v>76</v>
      </c>
      <c r="B30" s="2" t="s">
        <v>77</v>
      </c>
      <c r="C30" s="2" t="s">
        <v>14</v>
      </c>
      <c r="D30" s="2" t="s">
        <v>34</v>
      </c>
      <c r="E30" s="2" t="s">
        <v>16</v>
      </c>
      <c r="F30" s="2" t="n">
        <v>25</v>
      </c>
      <c r="G30" s="2" t="s">
        <v>36</v>
      </c>
      <c r="H30" s="2"/>
      <c r="I30" s="2" t="n">
        <v>5</v>
      </c>
      <c r="J30" s="2" t="n">
        <v>5</v>
      </c>
      <c r="K30" s="2" t="s">
        <v>83</v>
      </c>
      <c r="L30" s="2" t="s">
        <v>38</v>
      </c>
    </row>
    <row r="31" customFormat="false" ht="15" hidden="false" customHeight="false" outlineLevel="0" collapsed="false">
      <c r="A31" s="2" t="s">
        <v>76</v>
      </c>
      <c r="B31" s="2" t="s">
        <v>77</v>
      </c>
      <c r="C31" s="2" t="s">
        <v>14</v>
      </c>
      <c r="D31" s="2" t="s">
        <v>39</v>
      </c>
      <c r="E31" s="2" t="s">
        <v>16</v>
      </c>
      <c r="F31" s="2" t="n">
        <v>25</v>
      </c>
      <c r="G31" s="2" t="s">
        <v>40</v>
      </c>
      <c r="H31" s="2"/>
      <c r="I31" s="2" t="n">
        <v>5</v>
      </c>
      <c r="J31" s="2" t="n">
        <v>5</v>
      </c>
      <c r="K31" s="2" t="s">
        <v>84</v>
      </c>
      <c r="L31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3" t="s">
        <v>85</v>
      </c>
    </row>
    <row r="3" customFormat="false" ht="15" hidden="false" customHeight="false" outlineLevel="0" collapsed="false">
      <c r="A3" s="4" t="s">
        <v>86</v>
      </c>
      <c r="B3" s="4" t="s">
        <v>87</v>
      </c>
      <c r="D3" s="4" t="s">
        <v>88</v>
      </c>
      <c r="E3" s="4" t="s">
        <v>89</v>
      </c>
      <c r="F3" s="4" t="s">
        <v>90</v>
      </c>
    </row>
    <row r="4" customFormat="false" ht="15" hidden="false" customHeight="false" outlineLevel="0" collapsed="false">
      <c r="A4" s="5" t="s">
        <v>91</v>
      </c>
      <c r="B4" s="2" t="n">
        <f aca="false">COUNTA('Raw Validation Data'!A2:A31)</f>
        <v>30</v>
      </c>
      <c r="D4" s="2" t="s">
        <v>17</v>
      </c>
      <c r="E4" s="2" t="n">
        <f aca="false">COUNTIF('Raw Validation Data'!G2:G31,D4)</f>
        <v>17</v>
      </c>
      <c r="F4" s="2" t="s">
        <v>92</v>
      </c>
    </row>
    <row r="5" customFormat="false" ht="15" hidden="false" customHeight="false" outlineLevel="0" collapsed="false">
      <c r="A5" s="5" t="s">
        <v>93</v>
      </c>
      <c r="B5" s="2" t="n">
        <v>5</v>
      </c>
      <c r="D5" s="2" t="s">
        <v>26</v>
      </c>
      <c r="E5" s="2" t="n">
        <f aca="false">COUNTIF('Raw Validation Data'!G2:G31,D5)</f>
        <v>4</v>
      </c>
      <c r="F5" s="2" t="s">
        <v>94</v>
      </c>
    </row>
    <row r="6" customFormat="false" ht="15" hidden="false" customHeight="false" outlineLevel="0" collapsed="false">
      <c r="A6" s="5" t="s">
        <v>95</v>
      </c>
      <c r="B6" s="2" t="n">
        <f aca="false">COUNTIF('Raw Validation Data'!E2:E31,"Yes")</f>
        <v>28</v>
      </c>
      <c r="D6" s="2" t="s">
        <v>40</v>
      </c>
      <c r="E6" s="2" t="n">
        <f aca="false">COUNTIF('Raw Validation Data'!G2:G31,D6)</f>
        <v>4</v>
      </c>
      <c r="F6" s="2" t="s">
        <v>96</v>
      </c>
    </row>
    <row r="7" customFormat="false" ht="15" hidden="false" customHeight="false" outlineLevel="0" collapsed="false">
      <c r="A7" s="5" t="s">
        <v>97</v>
      </c>
      <c r="B7" s="6" t="n">
        <f aca="false">COUNTIF('Raw Validation Data'!E2:E31,"Yes")/COUNTA('Raw Validation Data'!A2:A31)</f>
        <v>0.933333333333333</v>
      </c>
      <c r="D7" s="2" t="s">
        <v>36</v>
      </c>
      <c r="E7" s="2" t="n">
        <f aca="false">COUNTIF('Raw Validation Data'!G2:G31,D7)</f>
        <v>2</v>
      </c>
      <c r="F7" s="2" t="s">
        <v>98</v>
      </c>
    </row>
    <row r="8" customFormat="false" ht="15" hidden="false" customHeight="false" outlineLevel="0" collapsed="false">
      <c r="A8" s="5" t="s">
        <v>99</v>
      </c>
      <c r="B8" s="7" t="n">
        <f aca="false">AVERAGE('Raw Validation Data'!I2:I31)</f>
        <v>4.3</v>
      </c>
      <c r="D8" s="2" t="s">
        <v>56</v>
      </c>
      <c r="E8" s="2" t="n">
        <f aca="false">COUNTIF('Raw Validation Data'!G2:G31,D8)</f>
        <v>2</v>
      </c>
      <c r="F8" s="2" t="s">
        <v>100</v>
      </c>
    </row>
    <row r="9" customFormat="false" ht="15" hidden="false" customHeight="false" outlineLevel="0" collapsed="false">
      <c r="A9" s="5" t="s">
        <v>101</v>
      </c>
      <c r="B9" s="7" t="n">
        <f aca="false">AVERAGE('Raw Validation Data'!J2:J31)</f>
        <v>4.4</v>
      </c>
      <c r="D9" s="2" t="s">
        <v>22</v>
      </c>
      <c r="E9" s="2" t="n">
        <f aca="false">COUNTIF('Raw Validation Data'!G2:G31,D9)</f>
        <v>1</v>
      </c>
      <c r="F9" s="2" t="s">
        <v>102</v>
      </c>
    </row>
    <row r="10" customFormat="false" ht="15" hidden="false" customHeight="false" outlineLevel="0" collapsed="false">
      <c r="A10" s="5" t="s">
        <v>103</v>
      </c>
      <c r="B10" s="8" t="n">
        <f aca="false">AVERAGE('Raw Validation Data'!F2:F31)</f>
        <v>90.5666666666667</v>
      </c>
    </row>
    <row r="11" customFormat="false" ht="15" hidden="false" customHeight="false" outlineLevel="0" collapsed="false">
      <c r="A11" s="5" t="s">
        <v>104</v>
      </c>
      <c r="B11" s="2" t="n">
        <f aca="false">COUNTIF('Raw Validation Data'!E2:E31,"No")</f>
        <v>2</v>
      </c>
    </row>
    <row r="14" customFormat="false" ht="17.35" hidden="false" customHeight="false" outlineLevel="0" collapsed="false">
      <c r="A14" s="3" t="s">
        <v>105</v>
      </c>
    </row>
    <row r="15" customFormat="false" ht="15" hidden="false" customHeight="false" outlineLevel="0" collapsed="false">
      <c r="A15" s="4" t="s">
        <v>86</v>
      </c>
      <c r="B15" s="4" t="s">
        <v>106</v>
      </c>
      <c r="C15" s="4" t="s">
        <v>107</v>
      </c>
      <c r="D15" s="4" t="s">
        <v>108</v>
      </c>
    </row>
    <row r="16" customFormat="false" ht="15" hidden="false" customHeight="false" outlineLevel="0" collapsed="false">
      <c r="A16" s="2" t="s">
        <v>109</v>
      </c>
      <c r="B16" s="2" t="s">
        <v>110</v>
      </c>
      <c r="C16" s="6" t="n">
        <f aca="false">B7</f>
        <v>0.933333333333333</v>
      </c>
      <c r="D16" s="5" t="str">
        <f aca="false">IF(B7&gt;=0.7,"Yes","No")</f>
        <v>Yes</v>
      </c>
    </row>
    <row r="17" customFormat="false" ht="15" hidden="false" customHeight="false" outlineLevel="0" collapsed="false">
      <c r="A17" s="2" t="s">
        <v>111</v>
      </c>
      <c r="B17" s="2" t="s">
        <v>112</v>
      </c>
      <c r="C17" s="7" t="n">
        <f aca="false">B8</f>
        <v>4.3</v>
      </c>
      <c r="D17" s="5" t="str">
        <f aca="false">IF(B8&gt;=4,"Yes","No")</f>
        <v>Yes</v>
      </c>
    </row>
    <row r="18" customFormat="false" ht="15" hidden="false" customHeight="false" outlineLevel="0" collapsed="false">
      <c r="A18" s="2" t="s">
        <v>113</v>
      </c>
      <c r="B18" s="2" t="s">
        <v>112</v>
      </c>
      <c r="C18" s="7" t="n">
        <f aca="false">B9</f>
        <v>4.4</v>
      </c>
      <c r="D18" s="5" t="str">
        <f aca="false">IF(B9&gt;=4,"Yes","No")</f>
        <v>Yes</v>
      </c>
    </row>
    <row r="20" customFormat="false" ht="15" hidden="false" customHeight="false" outlineLevel="0" collapsed="false">
      <c r="A20" s="9" t="s">
        <v>114</v>
      </c>
      <c r="B20" s="10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2026-07-18T21:25:04Z</dcterms:created>
  <dc:creator>openpyxl</dc:creator>
  <dc:description/>
  <dc:language>en-US</dc:language>
  <cp:lastModifiedBy/>
  <dcterms:modified xsi:type="dcterms:W3CDTF">2026-07-18T21:25:04Z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